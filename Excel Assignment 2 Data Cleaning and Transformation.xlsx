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562bdc11d8e1c12/Pictures/REVATHI/Data Analytics/Assignment/"/>
    </mc:Choice>
  </mc:AlternateContent>
  <xr:revisionPtr revIDLastSave="258" documentId="11_3C784BE47D5BC9D6C729A121CD02E8CB7FE6236B" xr6:coauthVersionLast="47" xr6:coauthVersionMax="47" xr10:uidLastSave="{ED229B94-1C96-4F55-84D2-B72DA32CF04E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2" i="3" l="1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L2" i="3"/>
  <c r="K3" i="3"/>
  <c r="L3" i="3" s="1"/>
  <c r="K4" i="3"/>
  <c r="L4" i="3" s="1"/>
  <c r="K5" i="3"/>
  <c r="L5" i="3" s="1"/>
  <c r="K6" i="3"/>
  <c r="L6" i="3" s="1"/>
  <c r="K7" i="3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</calcChain>
</file>

<file path=xl/sharedStrings.xml><?xml version="1.0" encoding="utf-8"?>
<sst xmlns="http://schemas.openxmlformats.org/spreadsheetml/2006/main" count="322" uniqueCount="134">
  <si>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</si>
  <si>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</si>
  <si>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</si>
  <si>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</si>
  <si>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</si>
  <si>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</si>
  <si>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</si>
  <si>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</si>
  <si>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</si>
  <si>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</si>
  <si>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</si>
  <si>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</si>
  <si>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</si>
  <si>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</si>
  <si>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</si>
  <si>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</si>
  <si>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</si>
  <si>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</si>
  <si>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</si>
  <si>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</si>
  <si>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</si>
  <si>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</si>
  <si>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</si>
  <si>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</si>
  <si>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</si>
  <si>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</si>
  <si>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</si>
  <si>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</si>
  <si>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</si>
  <si>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</si>
  <si>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</si>
  <si>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</si>
  <si>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</si>
  <si>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</si>
  <si>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</si>
  <si>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</si>
  <si>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</si>
  <si>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</si>
  <si>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</si>
  <si>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</si>
  <si>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</si>
  <si>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</si>
  <si>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</si>
  <si>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</si>
  <si>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</si>
  <si>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</si>
  <si>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</si>
  <si>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</si>
  <si>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</si>
  <si>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</si>
  <si>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</si>
  <si>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</si>
  <si>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</si>
  <si>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</si>
  <si>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</si>
  <si>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</si>
  <si>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</si>
  <si>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</si>
  <si>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</si>
  <si>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</si>
  <si>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</si>
  <si>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</si>
  <si>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</si>
  <si>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</si>
  <si>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</si>
  <si>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</si>
  <si>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</si>
  <si>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</si>
  <si>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</si>
  <si>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</si>
  <si>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</si>
  <si>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</si>
  <si>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</si>
  <si>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</si>
  <si>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</si>
  <si>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</si>
  <si>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</si>
  <si>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</si>
  <si>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</si>
  <si>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</si>
  <si>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</si>
  <si>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</si>
  <si>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</si>
  <si>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</si>
  <si>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</si>
  <si>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</si>
  <si>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</si>
  <si>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</si>
  <si>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</si>
  <si>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</si>
  <si>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</si>
  <si>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</si>
  <si>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</si>
  <si>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</si>
  <si>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</si>
  <si>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</si>
  <si>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</si>
  <si>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</si>
  <si>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</si>
  <si>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</si>
  <si>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</si>
  <si>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</si>
  <si>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</si>
  <si>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</si>
  <si>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</si>
  <si>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</si>
  <si>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</si>
  <si>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</si>
  <si>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</si>
  <si>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</si>
  <si>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</si>
  <si>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</si>
  <si>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</si>
  <si>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</si>
  <si>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</si>
  <si>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</si>
  <si>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</si>
  <si>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</si>
  <si>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</si>
  <si>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</si>
  <si>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</si>
  <si>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</si>
  <si>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</si>
  <si>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</si>
  <si>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</si>
  <si>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</si>
  <si>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</si>
  <si>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</si>
  <si>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</si>
  <si>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Column1</t>
  </si>
  <si>
    <t>Manufacturing Date</t>
  </si>
  <si>
    <t>Country Code</t>
  </si>
  <si>
    <t xml:space="preserve">Product Brand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</si>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</sst>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4DD0E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4" fontId="8" fillId="4" borderId="2" xfId="0" applyNumberFormat="1" applyFont="1" applyFill="1" applyBorder="1"/>
    <xf numFmtId="0" fontId="8" fillId="4" borderId="1" xfId="0" applyFont="1" applyFill="1" applyBorder="1"/>
    <xf numFmtId="0" fontId="10" fillId="4" borderId="1" xfId="0" applyFont="1" applyFill="1" applyBorder="1"/>
    <xf numFmtId="164" fontId="8" fillId="4" borderId="1" xfId="0" applyNumberFormat="1" applyFont="1" applyFill="1" applyBorder="1"/>
    <xf numFmtId="0" fontId="10" fillId="4" borderId="3" xfId="0" applyFont="1" applyFill="1" applyBorder="1"/>
    <xf numFmtId="0" fontId="8" fillId="5" borderId="1" xfId="0" applyFont="1" applyFill="1" applyBorder="1"/>
    <xf numFmtId="0" fontId="8" fillId="0" borderId="0" xfId="0" applyFont="1"/>
    <xf numFmtId="0" fontId="8" fillId="3" borderId="0" xfId="0" applyFont="1" applyFill="1"/>
    <xf numFmtId="0" fontId="10" fillId="6" borderId="1" xfId="0" applyFont="1" applyFill="1" applyBorder="1"/>
    <xf numFmtId="0" fontId="10" fillId="6" borderId="3" xfId="0" applyFont="1" applyFill="1" applyBorder="1"/>
    <xf numFmtId="14" fontId="10" fillId="6" borderId="2" xfId="0" applyNumberFormat="1" applyFont="1" applyFill="1" applyBorder="1"/>
    <xf numFmtId="164" fontId="10" fillId="6" borderId="1" xfId="0" applyNumberFormat="1" applyFont="1" applyFill="1" applyBorder="1"/>
    <xf numFmtId="14" fontId="10" fillId="6" borderId="7" xfId="0" applyNumberFormat="1" applyFont="1" applyFill="1" applyBorder="1"/>
    <xf numFmtId="0" fontId="10" fillId="6" borderId="8" xfId="0" applyFont="1" applyFill="1" applyBorder="1"/>
    <xf numFmtId="164" fontId="10" fillId="6" borderId="8" xfId="0" applyNumberFormat="1" applyFont="1" applyFill="1" applyBorder="1"/>
    <xf numFmtId="0" fontId="10" fillId="6" borderId="9" xfId="0" applyFont="1" applyFill="1" applyBorder="1"/>
    <xf numFmtId="14" fontId="9" fillId="7" borderId="4" xfId="0" applyNumberFormat="1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164" fontId="9" fillId="7" borderId="5" xfId="0" applyNumberFormat="1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numFmt numFmtId="164" formatCode="&quot;₹&quot;\ #,##0.0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6" tint="0.79998168889431442"/>
        </patternFill>
      </fill>
    </dxf>
    <dxf>
      <fill>
        <patternFill>
          <bgColor rgb="FFFCD65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numFmt numFmtId="19" formatCode="dd/mm/yyyy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CD65E"/>
      <color rgb="FFCCFFFF"/>
      <color rgb="FFD3E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75BB50-FBA8-46A4-A69B-C0EFC05D6595}" name="Table1" displayName="Table1" ref="H1:O1048576" totalsRowShown="0" headerRowDxfId="3" dataDxfId="14" headerRowBorderDxfId="15" tableBorderDxfId="13" totalsRowBorderDxfId="12">
  <autoFilter ref="H1:O1048576" xr:uid="{7375BB50-FBA8-46A4-A69B-C0EFC05D6595}"/>
  <tableColumns count="8">
    <tableColumn id="1" xr3:uid="{B3E1F8A3-6019-4814-8E72-3F35A432E381}" name="Date" dataDxfId="11"/>
    <tableColumn id="2" xr3:uid="{8A394AC3-3516-45A3-8C9D-F1309347FB90}" name="Manufacturing Date" dataDxfId="10"/>
    <tableColumn id="3" xr3:uid="{6ABBC5FE-1EDC-48FD-9288-98B5DB83CCAE}" name="Country Code" dataDxfId="9"/>
    <tableColumn id="4" xr3:uid="{8F392D5E-4C8E-4A13-B670-9AAE93BED8F6}" name="Product Name" dataDxfId="8"/>
    <tableColumn id="5" xr3:uid="{7EE87300-1637-4C03-A0A8-F3EE4C2EBD96}" name="Product Brand " dataDxfId="7"/>
    <tableColumn id="6" xr3:uid="{5ADA8F87-2714-4486-9DE6-5E0046BA6EFF}" name="Column1" dataDxfId="2"/>
    <tableColumn id="7" xr3:uid="{EEB6BB73-777D-4ABF-B5EF-E34B6023A882}" name="Price" dataDxfId="0"/>
    <tableColumn id="8" xr3:uid="{FD086EC6-8C10-48C9-998C-B4E0985A83C5}" name="Category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sqref="A1:C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J8" sqref="J8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7A9B-C296-47CE-B261-444C58694F34}">
  <sheetPr>
    <tabColor rgb="FF92D050"/>
  </sheetPr>
  <dimension ref="A1:R1048576"/>
  <sheetViews>
    <sheetView tabSelected="1" zoomScale="70" zoomScaleNormal="70" workbookViewId="0">
      <selection activeCell="G22" sqref="G22"/>
    </sheetView>
  </sheetViews>
  <sheetFormatPr defaultColWidth="12.6640625" defaultRowHeight="13.2" x14ac:dyDescent="0.25"/>
  <cols>
    <col min="7" max="7" width="6.6640625" customWidth="1"/>
    <col min="8" max="8" width="12.21875" style="19" customWidth="1"/>
    <col min="9" max="9" width="19.21875" style="17" customWidth="1"/>
    <col min="10" max="10" width="14.44140625" style="17" customWidth="1"/>
    <col min="11" max="11" width="15.33203125" style="17" customWidth="1"/>
    <col min="12" max="12" width="23.77734375" style="17" customWidth="1"/>
    <col min="13" max="13" width="14.6640625" style="17" customWidth="1"/>
    <col min="14" max="14" width="12.6640625" style="20"/>
    <col min="15" max="15" width="17.109375" style="18" customWidth="1"/>
  </cols>
  <sheetData>
    <row r="1" spans="1:18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/>
      <c r="H1" s="25" t="s">
        <v>116</v>
      </c>
      <c r="I1" s="26" t="s">
        <v>130</v>
      </c>
      <c r="J1" s="26" t="s">
        <v>131</v>
      </c>
      <c r="K1" s="26" t="s">
        <v>20</v>
      </c>
      <c r="L1" s="26" t="s">
        <v>132</v>
      </c>
      <c r="M1" s="26" t="s">
        <v>129</v>
      </c>
      <c r="N1" s="27" t="s">
        <v>133</v>
      </c>
      <c r="O1" s="28" t="s">
        <v>24</v>
      </c>
    </row>
    <row r="2" spans="1:18" ht="15.75" customHeight="1" x14ac:dyDescent="0.25">
      <c r="A2" s="5" t="s">
        <v>25</v>
      </c>
      <c r="B2" s="15" t="s">
        <v>26</v>
      </c>
      <c r="C2" s="5" t="s">
        <v>27</v>
      </c>
      <c r="D2" s="5">
        <v>1000</v>
      </c>
      <c r="E2" s="5">
        <v>30</v>
      </c>
      <c r="F2" s="5" t="s">
        <v>28</v>
      </c>
      <c r="G2" s="5"/>
      <c r="H2" s="9">
        <f t="shared" ref="H2:H32" si="0">DATE(2026,MONTH(MID(A2,4,3)&amp;"1"),LEFT(A2,2))</f>
        <v>46050</v>
      </c>
      <c r="I2" s="10">
        <v>28</v>
      </c>
      <c r="J2" s="11" t="s">
        <v>117</v>
      </c>
      <c r="K2" s="11" t="str">
        <f>PROPER(B2)</f>
        <v>Laptop</v>
      </c>
      <c r="L2" s="11" t="str">
        <f t="shared" ref="L2:L32" si="1">CONCATENATE(C2," ",K2)</f>
        <v>Dell Laptop</v>
      </c>
      <c r="M2" s="10" t="b">
        <f t="shared" ref="M2:M32" si="2">ISBLANK(D2)</f>
        <v>0</v>
      </c>
      <c r="N2" s="12">
        <f t="shared" ref="N2:N32" si="3">IF(ISBLANK(D2),MEDIAN(D$2:D$32),D2)</f>
        <v>1000</v>
      </c>
      <c r="O2" s="13" t="str">
        <f>IF(ISBLANK(F2), "Unknown",F2)</f>
        <v>Electronics</v>
      </c>
    </row>
    <row r="3" spans="1:18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8"/>
      <c r="H3" s="9">
        <f t="shared" si="0"/>
        <v>46068</v>
      </c>
      <c r="I3" s="14">
        <v>15</v>
      </c>
      <c r="J3" s="10" t="s">
        <v>117</v>
      </c>
      <c r="K3" s="11" t="str">
        <f t="shared" ref="K2:K32" si="4">PROPER(B3)</f>
        <v>Sneakers</v>
      </c>
      <c r="L3" s="11" t="str">
        <f t="shared" si="1"/>
        <v>Nike Sneakers</v>
      </c>
      <c r="M3" s="10" t="b">
        <f t="shared" si="2"/>
        <v>0</v>
      </c>
      <c r="N3" s="12">
        <f t="shared" si="3"/>
        <v>80</v>
      </c>
      <c r="O3" s="13" t="str">
        <f t="shared" ref="O3:O32" si="5">IF(ISBLANK(F3), "Unknown",F3)</f>
        <v>Fashion</v>
      </c>
      <c r="R3" s="5"/>
    </row>
    <row r="4" spans="1:18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5"/>
      <c r="H4" s="9">
        <f t="shared" si="0"/>
        <v>46084</v>
      </c>
      <c r="I4" s="10">
        <v>3</v>
      </c>
      <c r="J4" s="10" t="s">
        <v>117</v>
      </c>
      <c r="K4" s="11" t="str">
        <f t="shared" si="4"/>
        <v>Coffee Maker</v>
      </c>
      <c r="L4" s="11" t="str">
        <f t="shared" si="1"/>
        <v>Keurig Coffee Maker</v>
      </c>
      <c r="M4" s="10" t="b">
        <f t="shared" si="2"/>
        <v>0</v>
      </c>
      <c r="N4" s="12">
        <f t="shared" si="3"/>
        <v>130</v>
      </c>
      <c r="O4" s="13" t="str">
        <f t="shared" si="5"/>
        <v>Kitchen</v>
      </c>
      <c r="R4" s="5"/>
    </row>
    <row r="5" spans="1:18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8"/>
      <c r="H5" s="9">
        <f t="shared" si="0"/>
        <v>46123</v>
      </c>
      <c r="I5" s="14">
        <v>11</v>
      </c>
      <c r="J5" s="10" t="s">
        <v>117</v>
      </c>
      <c r="K5" s="11" t="str">
        <f t="shared" si="4"/>
        <v>Smartphone</v>
      </c>
      <c r="L5" s="11" t="str">
        <f t="shared" si="1"/>
        <v>Samsung Smartphone</v>
      </c>
      <c r="M5" s="10" t="b">
        <f t="shared" si="2"/>
        <v>0</v>
      </c>
      <c r="N5" s="12">
        <f t="shared" si="3"/>
        <v>900</v>
      </c>
      <c r="O5" s="13" t="str">
        <f t="shared" si="5"/>
        <v>Electronics</v>
      </c>
      <c r="R5" s="5"/>
    </row>
    <row r="6" spans="1:18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  <c r="G6" s="5"/>
      <c r="H6" s="9">
        <f t="shared" si="0"/>
        <v>46164</v>
      </c>
      <c r="I6" s="10">
        <v>22</v>
      </c>
      <c r="J6" s="11" t="s">
        <v>117</v>
      </c>
      <c r="K6" s="11" t="str">
        <f t="shared" si="4"/>
        <v>Backpack</v>
      </c>
      <c r="L6" s="11" t="str">
        <f t="shared" si="1"/>
        <v>North Face Backpack</v>
      </c>
      <c r="M6" s="10" t="b">
        <f t="shared" si="2"/>
        <v>0</v>
      </c>
      <c r="N6" s="12">
        <f t="shared" si="3"/>
        <v>70</v>
      </c>
      <c r="O6" s="13" t="str">
        <f t="shared" si="5"/>
        <v>Unknown</v>
      </c>
    </row>
    <row r="7" spans="1:18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28</v>
      </c>
      <c r="G7" s="8"/>
      <c r="H7" s="9">
        <f t="shared" si="0"/>
        <v>46180</v>
      </c>
      <c r="I7" s="14">
        <v>7</v>
      </c>
      <c r="J7" s="11" t="s">
        <v>118</v>
      </c>
      <c r="K7" s="11" t="str">
        <f t="shared" si="4"/>
        <v>Headphones</v>
      </c>
      <c r="L7" s="11" t="str">
        <f t="shared" si="1"/>
        <v>Sony Headphones</v>
      </c>
      <c r="M7" s="10" t="b">
        <f t="shared" si="2"/>
        <v>1</v>
      </c>
      <c r="N7" s="12">
        <f t="shared" si="3"/>
        <v>130</v>
      </c>
      <c r="O7" s="13" t="str">
        <f t="shared" si="5"/>
        <v>Electronics</v>
      </c>
    </row>
    <row r="8" spans="1:18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s="5"/>
      <c r="H8" s="9">
        <f t="shared" si="0"/>
        <v>46222</v>
      </c>
      <c r="I8" s="10">
        <v>19</v>
      </c>
      <c r="J8" s="11" t="s">
        <v>118</v>
      </c>
      <c r="K8" s="11" t="str">
        <f t="shared" si="4"/>
        <v>T-Shirt</v>
      </c>
      <c r="L8" s="11" t="str">
        <f t="shared" si="1"/>
        <v>Adidas T-Shirt</v>
      </c>
      <c r="M8" s="10" t="b">
        <f t="shared" si="2"/>
        <v>0</v>
      </c>
      <c r="N8" s="12">
        <f t="shared" si="3"/>
        <v>30</v>
      </c>
      <c r="O8" s="13" t="str">
        <f t="shared" si="5"/>
        <v>Fashion</v>
      </c>
    </row>
    <row r="9" spans="1:18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8"/>
      <c r="H9" s="9">
        <f t="shared" si="0"/>
        <v>46257</v>
      </c>
      <c r="I9" s="14">
        <v>23</v>
      </c>
      <c r="J9" s="11" t="s">
        <v>118</v>
      </c>
      <c r="K9" s="11" t="str">
        <f t="shared" si="4"/>
        <v>Blender</v>
      </c>
      <c r="L9" s="11" t="str">
        <f t="shared" si="1"/>
        <v>Ninja Blender</v>
      </c>
      <c r="M9" s="10" t="b">
        <f t="shared" si="2"/>
        <v>0</v>
      </c>
      <c r="N9" s="12">
        <f t="shared" si="3"/>
        <v>90</v>
      </c>
      <c r="O9" s="13" t="str">
        <f t="shared" si="5"/>
        <v>Kitchen</v>
      </c>
    </row>
    <row r="10" spans="1:18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 s="5"/>
      <c r="H10" s="9">
        <f t="shared" si="0"/>
        <v>46270</v>
      </c>
      <c r="I10" s="10">
        <v>5</v>
      </c>
      <c r="J10" s="11" t="s">
        <v>118</v>
      </c>
      <c r="K10" s="11" t="str">
        <f t="shared" si="4"/>
        <v>Tablet</v>
      </c>
      <c r="L10" s="11" t="str">
        <f t="shared" si="1"/>
        <v>Apple Tablet</v>
      </c>
      <c r="M10" s="10" t="b">
        <f t="shared" si="2"/>
        <v>0</v>
      </c>
      <c r="N10" s="12">
        <f t="shared" si="3"/>
        <v>500</v>
      </c>
      <c r="O10" s="13" t="str">
        <f t="shared" si="5"/>
        <v>Electronics</v>
      </c>
    </row>
    <row r="11" spans="1:18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8"/>
      <c r="H11" s="9">
        <f t="shared" si="0"/>
        <v>46309</v>
      </c>
      <c r="I11" s="14">
        <v>14</v>
      </c>
      <c r="J11" s="11" t="s">
        <v>118</v>
      </c>
      <c r="K11" s="11" t="str">
        <f t="shared" si="4"/>
        <v>Hiking Boots</v>
      </c>
      <c r="L11" s="11" t="str">
        <f t="shared" si="1"/>
        <v>Timberland Hiking Boots</v>
      </c>
      <c r="M11" s="10" t="b">
        <f t="shared" si="2"/>
        <v>0</v>
      </c>
      <c r="N11" s="12">
        <f t="shared" si="3"/>
        <v>130</v>
      </c>
      <c r="O11" s="13" t="str">
        <f t="shared" si="5"/>
        <v>Outdoor</v>
      </c>
    </row>
    <row r="12" spans="1:18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 s="5"/>
      <c r="H12" s="9">
        <f t="shared" si="0"/>
        <v>46190</v>
      </c>
      <c r="I12" s="10">
        <v>17</v>
      </c>
      <c r="J12" s="11" t="s">
        <v>119</v>
      </c>
      <c r="K12" s="11" t="str">
        <f t="shared" si="4"/>
        <v>Laptop</v>
      </c>
      <c r="L12" s="11" t="str">
        <f t="shared" si="1"/>
        <v>HP Laptop</v>
      </c>
      <c r="M12" s="10" t="b">
        <f t="shared" si="2"/>
        <v>0</v>
      </c>
      <c r="N12" s="12">
        <f t="shared" si="3"/>
        <v>950</v>
      </c>
      <c r="O12" s="13" t="str">
        <f t="shared" si="5"/>
        <v>Electronics</v>
      </c>
    </row>
    <row r="13" spans="1:18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  <c r="G13" s="8"/>
      <c r="H13" s="9">
        <f t="shared" si="0"/>
        <v>46351</v>
      </c>
      <c r="I13" s="14">
        <v>25</v>
      </c>
      <c r="J13" s="11" t="s">
        <v>120</v>
      </c>
      <c r="K13" s="11" t="str">
        <f t="shared" si="4"/>
        <v>Sneakers</v>
      </c>
      <c r="L13" s="11" t="str">
        <f t="shared" si="1"/>
        <v>Adidas Sneakers</v>
      </c>
      <c r="M13" s="10" t="b">
        <f t="shared" si="2"/>
        <v>0</v>
      </c>
      <c r="N13" s="12">
        <f t="shared" si="3"/>
        <v>90</v>
      </c>
      <c r="O13" s="13" t="str">
        <f t="shared" si="5"/>
        <v>Unknown</v>
      </c>
    </row>
    <row r="14" spans="1:18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  <c r="G14" s="5"/>
      <c r="H14" s="9">
        <f t="shared" si="0"/>
        <v>46364</v>
      </c>
      <c r="I14" s="10">
        <v>8</v>
      </c>
      <c r="J14" s="11" t="s">
        <v>121</v>
      </c>
      <c r="K14" s="11" t="str">
        <f t="shared" si="4"/>
        <v>Coffee Maker</v>
      </c>
      <c r="L14" s="11" t="str">
        <f t="shared" si="1"/>
        <v>Nespresso Coffee Maker</v>
      </c>
      <c r="M14" s="10" t="b">
        <f t="shared" si="2"/>
        <v>0</v>
      </c>
      <c r="N14" s="12">
        <f t="shared" si="3"/>
        <v>120</v>
      </c>
      <c r="O14" s="13" t="str">
        <f t="shared" si="5"/>
        <v>Unknown</v>
      </c>
    </row>
    <row r="15" spans="1:18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  <c r="G15" s="8"/>
      <c r="H15" s="9">
        <f t="shared" si="0"/>
        <v>46071</v>
      </c>
      <c r="I15" s="14">
        <v>18</v>
      </c>
      <c r="J15" s="11" t="s">
        <v>122</v>
      </c>
      <c r="K15" s="11" t="str">
        <f t="shared" si="4"/>
        <v>Smartwatch</v>
      </c>
      <c r="L15" s="11" t="str">
        <f t="shared" si="1"/>
        <v>Fitbit Smartwatch</v>
      </c>
      <c r="M15" s="10" t="b">
        <f t="shared" si="2"/>
        <v>0</v>
      </c>
      <c r="N15" s="12">
        <f t="shared" si="3"/>
        <v>150</v>
      </c>
      <c r="O15" s="13" t="str">
        <f t="shared" si="5"/>
        <v>Electronics</v>
      </c>
    </row>
    <row r="16" spans="1:18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28</v>
      </c>
      <c r="G16" s="5"/>
      <c r="H16" s="9">
        <f t="shared" si="0"/>
        <v>46128</v>
      </c>
      <c r="I16" s="10">
        <v>16</v>
      </c>
      <c r="J16" s="11" t="s">
        <v>123</v>
      </c>
      <c r="K16" s="11" t="str">
        <f t="shared" si="4"/>
        <v>Headphones</v>
      </c>
      <c r="L16" s="11" t="str">
        <f t="shared" si="1"/>
        <v>Bose Headphones</v>
      </c>
      <c r="M16" s="10" t="b">
        <f t="shared" si="2"/>
        <v>0</v>
      </c>
      <c r="N16" s="12">
        <f t="shared" si="3"/>
        <v>250</v>
      </c>
      <c r="O16" s="13" t="str">
        <f t="shared" si="5"/>
        <v>Electronics</v>
      </c>
    </row>
    <row r="17" spans="1:15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8"/>
      <c r="H17" s="9">
        <f t="shared" si="0"/>
        <v>46255</v>
      </c>
      <c r="I17" s="14">
        <v>21</v>
      </c>
      <c r="J17" s="11" t="s">
        <v>122</v>
      </c>
      <c r="K17" s="11" t="str">
        <f t="shared" si="4"/>
        <v>Laptop Bag</v>
      </c>
      <c r="L17" s="11" t="str">
        <f t="shared" si="1"/>
        <v>Samsonite Laptop Bag</v>
      </c>
      <c r="M17" s="10" t="b">
        <f t="shared" si="2"/>
        <v>0</v>
      </c>
      <c r="N17" s="12">
        <f t="shared" si="3"/>
        <v>50</v>
      </c>
      <c r="O17" s="13" t="str">
        <f t="shared" si="5"/>
        <v>Accessories</v>
      </c>
    </row>
    <row r="18" spans="1:15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28</v>
      </c>
      <c r="G18" s="5"/>
      <c r="H18" s="9">
        <f t="shared" si="0"/>
        <v>46254</v>
      </c>
      <c r="I18" s="10">
        <v>20</v>
      </c>
      <c r="J18" s="11" t="s">
        <v>124</v>
      </c>
      <c r="K18" s="11" t="str">
        <f t="shared" si="4"/>
        <v>Smartwatch</v>
      </c>
      <c r="L18" s="11" t="str">
        <f t="shared" si="1"/>
        <v>Huawei Smartwatch</v>
      </c>
      <c r="M18" s="10" t="b">
        <f t="shared" si="2"/>
        <v>0</v>
      </c>
      <c r="N18" s="12">
        <f t="shared" si="3"/>
        <v>160</v>
      </c>
      <c r="O18" s="13" t="str">
        <f t="shared" si="5"/>
        <v>Electronics</v>
      </c>
    </row>
    <row r="19" spans="1:15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s="8"/>
      <c r="H19" s="9">
        <f t="shared" si="0"/>
        <v>46049</v>
      </c>
      <c r="I19" s="14">
        <v>27</v>
      </c>
      <c r="J19" s="11" t="s">
        <v>125</v>
      </c>
      <c r="K19" s="11" t="str">
        <f t="shared" si="4"/>
        <v>Laptop</v>
      </c>
      <c r="L19" s="11" t="str">
        <f t="shared" si="1"/>
        <v>Asus Laptop</v>
      </c>
      <c r="M19" s="10" t="b">
        <f t="shared" si="2"/>
        <v>0</v>
      </c>
      <c r="N19" s="12">
        <f t="shared" si="3"/>
        <v>980</v>
      </c>
      <c r="O19" s="13" t="str">
        <f t="shared" si="5"/>
        <v>Electronics</v>
      </c>
    </row>
    <row r="20" spans="1:15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s="5"/>
      <c r="H20" s="9">
        <f t="shared" si="0"/>
        <v>46082</v>
      </c>
      <c r="I20" s="10">
        <v>1</v>
      </c>
      <c r="J20" s="11" t="s">
        <v>118</v>
      </c>
      <c r="K20" s="11" t="str">
        <f t="shared" si="4"/>
        <v>Sunglasses</v>
      </c>
      <c r="L20" s="11" t="str">
        <f t="shared" si="1"/>
        <v>Oakley Sunglasses</v>
      </c>
      <c r="M20" s="10" t="b">
        <f t="shared" si="2"/>
        <v>0</v>
      </c>
      <c r="N20" s="12">
        <f t="shared" si="3"/>
        <v>150</v>
      </c>
      <c r="O20" s="13" t="str">
        <f t="shared" si="5"/>
        <v>Fashion</v>
      </c>
    </row>
    <row r="21" spans="1:15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  <c r="G21" s="8"/>
      <c r="H21" s="9">
        <f t="shared" si="0"/>
        <v>46248</v>
      </c>
      <c r="I21" s="14">
        <v>14</v>
      </c>
      <c r="J21" s="11" t="s">
        <v>117</v>
      </c>
      <c r="K21" s="11" t="str">
        <f t="shared" si="4"/>
        <v>Camping Tent</v>
      </c>
      <c r="L21" s="11" t="str">
        <f t="shared" si="1"/>
        <v>Coleman Camping Tent</v>
      </c>
      <c r="M21" s="10" t="b">
        <f t="shared" si="2"/>
        <v>1</v>
      </c>
      <c r="N21" s="12">
        <f t="shared" si="3"/>
        <v>130</v>
      </c>
      <c r="O21" s="13" t="str">
        <f t="shared" si="5"/>
        <v>Outdoor</v>
      </c>
    </row>
    <row r="22" spans="1:15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 s="5"/>
      <c r="H22" s="9">
        <f t="shared" si="0"/>
        <v>46156</v>
      </c>
      <c r="I22" s="10">
        <v>14</v>
      </c>
      <c r="J22" s="11" t="s">
        <v>126</v>
      </c>
      <c r="K22" s="11" t="str">
        <f t="shared" si="4"/>
        <v>Camera</v>
      </c>
      <c r="L22" s="11" t="str">
        <f t="shared" si="1"/>
        <v>Nikon Camera</v>
      </c>
      <c r="M22" s="10" t="b">
        <f t="shared" si="2"/>
        <v>0</v>
      </c>
      <c r="N22" s="12">
        <f t="shared" si="3"/>
        <v>700</v>
      </c>
      <c r="O22" s="13" t="str">
        <f t="shared" si="5"/>
        <v>Electronics</v>
      </c>
    </row>
    <row r="23" spans="1:15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8"/>
      <c r="H23" s="9">
        <f t="shared" si="0"/>
        <v>46031</v>
      </c>
      <c r="I23" s="14">
        <v>9</v>
      </c>
      <c r="J23" s="11" t="s">
        <v>122</v>
      </c>
      <c r="K23" s="11" t="str">
        <f t="shared" si="4"/>
        <v>Microwave</v>
      </c>
      <c r="L23" s="11" t="str">
        <f t="shared" si="1"/>
        <v>Panasonic Microwave</v>
      </c>
      <c r="M23" s="10" t="b">
        <f t="shared" si="2"/>
        <v>0</v>
      </c>
      <c r="N23" s="12">
        <f t="shared" si="3"/>
        <v>80</v>
      </c>
      <c r="O23" s="13" t="str">
        <f t="shared" si="5"/>
        <v>Kitchen</v>
      </c>
    </row>
    <row r="24" spans="1:15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  <c r="G24" s="5"/>
      <c r="H24" s="9">
        <f t="shared" si="0"/>
        <v>46222</v>
      </c>
      <c r="I24" s="10">
        <v>19</v>
      </c>
      <c r="J24" s="11" t="s">
        <v>127</v>
      </c>
      <c r="K24" s="11" t="str">
        <f t="shared" si="4"/>
        <v>Fitness Tracker</v>
      </c>
      <c r="L24" s="11" t="str">
        <f t="shared" si="1"/>
        <v>Xiaomi Fitness Tracker</v>
      </c>
      <c r="M24" s="10" t="b">
        <f t="shared" si="2"/>
        <v>0</v>
      </c>
      <c r="N24" s="12">
        <f t="shared" si="3"/>
        <v>150</v>
      </c>
      <c r="O24" s="13" t="str">
        <f t="shared" si="5"/>
        <v>Unknown</v>
      </c>
    </row>
    <row r="25" spans="1:15" ht="15.75" customHeight="1" x14ac:dyDescent="0.25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  <c r="G25" s="5"/>
      <c r="H25" s="9">
        <f t="shared" si="0"/>
        <v>46294</v>
      </c>
      <c r="I25" s="10">
        <v>29</v>
      </c>
      <c r="J25" s="11" t="s">
        <v>122</v>
      </c>
      <c r="K25" s="11" t="str">
        <f t="shared" si="4"/>
        <v>Smartphone</v>
      </c>
      <c r="L25" s="11" t="str">
        <f t="shared" si="1"/>
        <v>Google Smartphone</v>
      </c>
      <c r="M25" s="10" t="b">
        <f t="shared" si="2"/>
        <v>0</v>
      </c>
      <c r="N25" s="12">
        <f t="shared" si="3"/>
        <v>800</v>
      </c>
      <c r="O25" s="13" t="str">
        <f t="shared" si="5"/>
        <v>Electronics</v>
      </c>
    </row>
    <row r="26" spans="1:15" ht="15.75" customHeight="1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  <c r="G26" s="8"/>
      <c r="H26" s="9">
        <f t="shared" si="0"/>
        <v>46176</v>
      </c>
      <c r="I26" s="14">
        <v>3</v>
      </c>
      <c r="J26" s="11" t="s">
        <v>122</v>
      </c>
      <c r="K26" s="11" t="str">
        <f t="shared" si="4"/>
        <v>Sunglasses</v>
      </c>
      <c r="L26" s="11" t="str">
        <f t="shared" si="1"/>
        <v>Ray-Ban Sunglasses</v>
      </c>
      <c r="M26" s="10" t="b">
        <f t="shared" si="2"/>
        <v>1</v>
      </c>
      <c r="N26" s="12">
        <f t="shared" si="3"/>
        <v>130</v>
      </c>
      <c r="O26" s="13" t="str">
        <f t="shared" si="5"/>
        <v>Fashion</v>
      </c>
    </row>
    <row r="27" spans="1:15" ht="15.75" customHeight="1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  <c r="G27" s="5"/>
      <c r="H27" s="9">
        <f t="shared" si="0"/>
        <v>46214</v>
      </c>
      <c r="I27" s="10">
        <v>11</v>
      </c>
      <c r="J27" s="11" t="s">
        <v>122</v>
      </c>
      <c r="K27" s="11" t="str">
        <f t="shared" si="4"/>
        <v>Blender</v>
      </c>
      <c r="L27" s="11" t="str">
        <f t="shared" si="1"/>
        <v>Vitamix Blender</v>
      </c>
      <c r="M27" s="10" t="b">
        <f t="shared" si="2"/>
        <v>0</v>
      </c>
      <c r="N27" s="12">
        <f t="shared" si="3"/>
        <v>400</v>
      </c>
      <c r="O27" s="13" t="str">
        <f t="shared" si="5"/>
        <v>Kitchen</v>
      </c>
    </row>
    <row r="28" spans="1:15" ht="15.75" customHeight="1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  <c r="G28" s="5"/>
      <c r="H28" s="9">
        <f t="shared" si="0"/>
        <v>46088</v>
      </c>
      <c r="I28" s="10">
        <v>7</v>
      </c>
      <c r="J28" s="11" t="s">
        <v>122</v>
      </c>
      <c r="K28" s="11" t="str">
        <f t="shared" si="4"/>
        <v>Dress</v>
      </c>
      <c r="L28" s="11" t="str">
        <f t="shared" si="1"/>
        <v>Zara Dress</v>
      </c>
      <c r="M28" s="10" t="b">
        <f t="shared" si="2"/>
        <v>0</v>
      </c>
      <c r="N28" s="12">
        <f t="shared" si="3"/>
        <v>60</v>
      </c>
      <c r="O28" s="13" t="str">
        <f t="shared" si="5"/>
        <v>Fashion</v>
      </c>
    </row>
    <row r="29" spans="1:15" ht="15.75" customHeight="1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  <c r="G29" s="8"/>
      <c r="H29" s="9">
        <f t="shared" si="0"/>
        <v>46125</v>
      </c>
      <c r="I29" s="14">
        <v>13</v>
      </c>
      <c r="J29" s="11" t="s">
        <v>122</v>
      </c>
      <c r="K29" s="11" t="str">
        <f t="shared" si="4"/>
        <v>Toaster</v>
      </c>
      <c r="L29" s="11" t="str">
        <f t="shared" si="1"/>
        <v>Hamilton Toaster</v>
      </c>
      <c r="M29" s="10" t="b">
        <f t="shared" si="2"/>
        <v>0</v>
      </c>
      <c r="N29" s="12">
        <f t="shared" si="3"/>
        <v>40</v>
      </c>
      <c r="O29" s="13" t="str">
        <f t="shared" si="5"/>
        <v>Kitchen</v>
      </c>
    </row>
    <row r="30" spans="1:15" ht="15.75" customHeight="1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  <c r="G30" s="5"/>
      <c r="H30" s="9">
        <f t="shared" si="0"/>
        <v>46166</v>
      </c>
      <c r="I30" s="10">
        <v>24</v>
      </c>
      <c r="J30" s="11" t="s">
        <v>122</v>
      </c>
      <c r="K30" s="11" t="str">
        <f t="shared" si="4"/>
        <v>Fitness Tracker</v>
      </c>
      <c r="L30" s="11" t="str">
        <f t="shared" si="1"/>
        <v>Garmin Fitness Tracker</v>
      </c>
      <c r="M30" s="10" t="b">
        <f t="shared" si="2"/>
        <v>0</v>
      </c>
      <c r="N30" s="12">
        <f t="shared" si="3"/>
        <v>130</v>
      </c>
      <c r="O30" s="13" t="str">
        <f t="shared" si="5"/>
        <v>Electronics</v>
      </c>
    </row>
    <row r="31" spans="1:15" ht="15.75" customHeight="1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  <c r="G31" s="8"/>
      <c r="H31" s="9">
        <f t="shared" si="0"/>
        <v>46358</v>
      </c>
      <c r="I31" s="14">
        <v>2</v>
      </c>
      <c r="J31" s="11" t="s">
        <v>122</v>
      </c>
      <c r="K31" s="11" t="str">
        <f t="shared" si="4"/>
        <v>Jeans</v>
      </c>
      <c r="L31" s="11" t="str">
        <f t="shared" si="1"/>
        <v>Levi's Jeans</v>
      </c>
      <c r="M31" s="10" t="b">
        <f t="shared" si="2"/>
        <v>0</v>
      </c>
      <c r="N31" s="12">
        <f t="shared" si="3"/>
        <v>50</v>
      </c>
      <c r="O31" s="13" t="str">
        <f t="shared" si="5"/>
        <v>Fashion</v>
      </c>
    </row>
    <row r="32" spans="1:15" ht="15.75" customHeight="1" x14ac:dyDescent="0.25">
      <c r="A32" s="8" t="s">
        <v>113</v>
      </c>
      <c r="B32" s="16" t="s">
        <v>114</v>
      </c>
      <c r="C32" s="8" t="s">
        <v>115</v>
      </c>
      <c r="D32" s="8">
        <v>100</v>
      </c>
      <c r="E32" s="8">
        <v>20</v>
      </c>
      <c r="F32" s="8" t="s">
        <v>75</v>
      </c>
      <c r="G32" s="8"/>
      <c r="H32" s="9">
        <f t="shared" si="0"/>
        <v>46212</v>
      </c>
      <c r="I32" s="14">
        <v>9</v>
      </c>
      <c r="J32" s="11" t="s">
        <v>128</v>
      </c>
      <c r="K32" s="11" t="str">
        <f t="shared" si="4"/>
        <v>Watch</v>
      </c>
      <c r="L32" s="11" t="str">
        <f t="shared" si="1"/>
        <v>Casio Watch</v>
      </c>
      <c r="M32" s="10" t="b">
        <f t="shared" si="2"/>
        <v>0</v>
      </c>
      <c r="N32" s="12">
        <f t="shared" si="3"/>
        <v>100</v>
      </c>
      <c r="O32" s="13" t="str">
        <f t="shared" si="5"/>
        <v>Accessories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48576" spans="8:15" x14ac:dyDescent="0.25">
      <c r="H1048576" s="21"/>
      <c r="I1048576" s="22"/>
      <c r="J1048576" s="22"/>
      <c r="K1048576" s="22"/>
      <c r="L1048576" s="22"/>
      <c r="M1048576" s="22"/>
      <c r="N1048576" s="23"/>
      <c r="O1048576" s="24"/>
    </row>
  </sheetData>
  <conditionalFormatting sqref="N1:N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{D2570094-696B-430B-BC79-D34DB5EDACED}</x14:id>
        </ext>
      </extLst>
    </cfRule>
  </conditionalFormatting>
  <conditionalFormatting sqref="O1:O1048576">
    <cfRule type="containsText" dxfId="6" priority="1" operator="containsText" text="Electronics">
      <formula>NOT(ISERROR(SEARCH("Electronics",O1)))</formula>
    </cfRule>
    <cfRule type="containsText" dxfId="5" priority="2" operator="containsText" text="Electronics">
      <formula>NOT(ISERROR(SEARCH("Electronics",O1)))</formula>
    </cfRule>
  </conditionalFormatting>
  <conditionalFormatting sqref="O2:O1048576">
    <cfRule type="containsText" dxfId="4" priority="5" operator="containsText" text="Electronics">
      <formula>NOT(ISERROR(SEARCH("Electronics",O2)))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570094-696B-430B-BC79-D34DB5EDACE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SOORAJ VIJAYAN</cp:lastModifiedBy>
  <dcterms:modified xsi:type="dcterms:W3CDTF">2026-09-22T17:37:12Z</dcterms:modified>
</cp:coreProperties>
</file>